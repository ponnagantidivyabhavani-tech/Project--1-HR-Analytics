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48dc8d161d2c492/Desktop/Divya/Power BI Course 24.02.26/Project-1 HR Analytics Dashboard/"/>
    </mc:Choice>
  </mc:AlternateContent>
  <xr:revisionPtr revIDLastSave="21" documentId="11_1552FF13C632B1046EC5E988B09B4A5B570BC4F5" xr6:coauthVersionLast="47" xr6:coauthVersionMax="47" xr10:uidLastSave="{63335CA1-65D1-42F5-B184-A3AA64C8FA98}"/>
  <bookViews>
    <workbookView xWindow="-108" yWindow="-108" windowWidth="23256" windowHeight="12456" xr2:uid="{00000000-000D-0000-FFFF-FFFF00000000}"/>
  </bookViews>
  <sheets>
    <sheet name="Emp" sheetId="1" r:id="rId1"/>
    <sheet name="DeptTable" sheetId="2" r:id="rId2"/>
    <sheet name="Sheet4" sheetId="3" r:id="rId3"/>
    <sheet name="TEXT FORMULAS" sheetId="4" r:id="rId4"/>
    <sheet name="DATE AND TIME FORMULAS" sheetId="5" r:id="rId5"/>
    <sheet name="GOAL SEEK" sheetId="6" r:id="rId6"/>
    <sheet name="Sheet2" sheetId="7" r:id="rId7"/>
  </sheets>
  <definedNames>
    <definedName name="_xlnm._FilterDatabase" localSheetId="0" hidden="1">Emp!$D$1:$D$22</definedName>
    <definedName name="Z_335C4515_0D91_45C8_B6E9_F323629ACF11_.wvu.FilterData" localSheetId="0" hidden="1">Emp!$D$1:$D$22</definedName>
    <definedName name="Z_48B32438_C3A5_424C_9C49_5FE8A8B47FEB_.wvu.FilterData" localSheetId="0" hidden="1">Emp!$D$1:$D$22</definedName>
    <definedName name="Z_5CEB309F_82F8_4AF5_A3E0_E5E520B65347_.wvu.FilterData" localSheetId="0" hidden="1">Emp!$D$1:$D$22</definedName>
    <definedName name="Z_E23902E3_2E22_475C_A87F_38906945F4D0_.wvu.FilterData" localSheetId="0" hidden="1">Emp!$D$1:$D$22</definedName>
    <definedName name="Z_FE5E2757_CDBE_4902_8FED_45C7B3760803_.wvu.FilterData" localSheetId="0" hidden="1">Emp!$D$1:$D$22</definedName>
  </definedNames>
  <calcPr calcId="191029"/>
  <customWorkbookViews>
    <customWorkbookView name="view1" guid="{FE5E2757-CDBE-4902-8FED-45C7B3760803}" maximized="1" xWindow="1" yWindow="1" windowWidth="1276" windowHeight="482" activeSheetId="1"/>
    <customWorkbookView name="view2" guid="{335C4515-0D91-45C8-B6E9-F323629ACF11}" maximized="1" xWindow="1" yWindow="1" windowWidth="1276" windowHeight="482" activeSheetId="1"/>
    <customWorkbookView name="swenag - Personal View" guid="{5CEB309F-82F8-4AF5-A3E0-E5E520B65347}" mergeInterval="0" personalView="1" maximized="1" xWindow="1" yWindow="1" windowWidth="1276" windowHeight="48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12" i="1"/>
  <c r="N10" i="1"/>
  <c r="G2" i="4"/>
  <c r="C18" i="4"/>
  <c r="B17" i="4"/>
  <c r="B16" i="4"/>
  <c r="C16" i="4" s="1"/>
  <c r="B14" i="4"/>
  <c r="B13" i="4"/>
  <c r="B10" i="4"/>
  <c r="B9" i="4"/>
  <c r="C7" i="4"/>
  <c r="C6" i="4"/>
  <c r="B2" i="4"/>
  <c r="C11" i="6"/>
  <c r="B6" i="6"/>
  <c r="B15" i="4"/>
  <c r="C3" i="4"/>
  <c r="B11" i="6"/>
  <c r="B15" i="6" s="1"/>
  <c r="E2" i="5"/>
  <c r="B12" i="4"/>
  <c r="B11" i="4"/>
  <c r="B8" i="4"/>
  <c r="B5" i="4"/>
  <c r="B4" i="4"/>
  <c r="B3" i="4"/>
</calcChain>
</file>

<file path=xl/sharedStrings.xml><?xml version="1.0" encoding="utf-8"?>
<sst xmlns="http://schemas.openxmlformats.org/spreadsheetml/2006/main" count="119" uniqueCount="91">
  <si>
    <t>EMPNO</t>
  </si>
  <si>
    <t>ENAME</t>
  </si>
  <si>
    <t>JOB</t>
  </si>
  <si>
    <t>MGR</t>
  </si>
  <si>
    <t>HIREDATE</t>
  </si>
  <si>
    <t>SAL</t>
  </si>
  <si>
    <t>COMM</t>
  </si>
  <si>
    <t>DEPTNO</t>
  </si>
  <si>
    <t>CLARK</t>
  </si>
  <si>
    <t>MANAGER</t>
  </si>
  <si>
    <t>CLARK123@gmail.com</t>
  </si>
  <si>
    <t>KING</t>
  </si>
  <si>
    <t>PRESIDENT</t>
  </si>
  <si>
    <t>KING123@gmail.com</t>
  </si>
  <si>
    <t>MILLER</t>
  </si>
  <si>
    <t>CLERK</t>
  </si>
  <si>
    <t>MILLER123@gmail.com</t>
  </si>
  <si>
    <t>SMITH</t>
  </si>
  <si>
    <t>SMITH123@gmail.com</t>
  </si>
  <si>
    <t>JONES</t>
  </si>
  <si>
    <t>JONES123@gmail.com</t>
  </si>
  <si>
    <t>SCOTT</t>
  </si>
  <si>
    <t>ANALYST</t>
  </si>
  <si>
    <t>SCOTT123@gmail.com</t>
  </si>
  <si>
    <t>ADAMS</t>
  </si>
  <si>
    <t>ADAMS123@gmail.com</t>
  </si>
  <si>
    <t>FORD</t>
  </si>
  <si>
    <t>FORD123@gmail.com</t>
  </si>
  <si>
    <t>kiran</t>
  </si>
  <si>
    <t>kiran123@gmail.com</t>
  </si>
  <si>
    <t>RAJU</t>
  </si>
  <si>
    <t>RAJU123@gmail.com</t>
  </si>
  <si>
    <t>ALLEN</t>
  </si>
  <si>
    <t>SALESMAN</t>
  </si>
  <si>
    <t>ALLEN123@gmail.com</t>
  </si>
  <si>
    <t>WARD</t>
  </si>
  <si>
    <t>WARD123@gmail.com</t>
  </si>
  <si>
    <t>MARTIN</t>
  </si>
  <si>
    <t>MARTIN123@gmail.com</t>
  </si>
  <si>
    <t>BLAKE</t>
  </si>
  <si>
    <t>BLAKE123@gmail.com</t>
  </si>
  <si>
    <t>TURNER</t>
  </si>
  <si>
    <t>TURNER123@gmail.com</t>
  </si>
  <si>
    <t>RAMAN</t>
  </si>
  <si>
    <t>NZ</t>
  </si>
  <si>
    <t>JAMES</t>
  </si>
  <si>
    <t>JAMES123@gmail.com</t>
  </si>
  <si>
    <t>Deptno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</si>
  <si>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</si>
  <si>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</si>
  <si>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</si>
  <si>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</si>
  <si>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</si>
  <si>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</si>
  <si>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</si>
  <si>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</si>
  <si>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</si>
  <si>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</si>
  <si>
    <t>BLR</t>
  </si>
  <si>
    <t>Email</t>
  </si>
  <si>
    <t>FKVBKJFDV KCBVKJFDHKJDBNCVKJDFGDCMSBJFHGEJIKQANBCVBDSJFGHASJKXCHBKASFGUISWHCJKASCJHSDF</t>
  </si>
  <si>
    <t xml:space="preserve">NAGESH </t>
  </si>
  <si>
    <t>SALE</t>
  </si>
  <si>
    <t>TEXT FORMULAS</t>
  </si>
  <si>
    <t>manikumar</t>
  </si>
  <si>
    <t>nagesh</t>
  </si>
  <si>
    <t>subbu</t>
  </si>
  <si>
    <t>mahesh</t>
  </si>
  <si>
    <t>ROHIT SHARMA</t>
  </si>
  <si>
    <t>R</t>
  </si>
  <si>
    <t>PRODUCTNAME</t>
  </si>
  <si>
    <t>QTY</t>
  </si>
  <si>
    <t>SALES PICE</t>
  </si>
  <si>
    <t>COST PRICE</t>
  </si>
  <si>
    <t>PROFIT</t>
  </si>
  <si>
    <t>KEYBOARD</t>
  </si>
  <si>
    <t>PRODUCTS</t>
  </si>
  <si>
    <t>MOUSE</t>
  </si>
  <si>
    <t>VEGETABLES</t>
  </si>
  <si>
    <t>MOBILES</t>
  </si>
  <si>
    <t>EMPLOYEE</t>
  </si>
  <si>
    <t>MONTHS</t>
  </si>
  <si>
    <t>ROI</t>
  </si>
  <si>
    <t>EMI</t>
  </si>
  <si>
    <t>AMOUNT</t>
  </si>
  <si>
    <t>A</t>
  </si>
  <si>
    <t>ROhIT SHARMA</t>
  </si>
  <si>
    <t>COST</t>
  </si>
  <si>
    <t>HR</t>
  </si>
  <si>
    <t>RAJANI</t>
  </si>
  <si>
    <t>RAJANI123@gmail.com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</si>
</sst>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8" xfId="0" applyFill="1" applyBorder="1" applyAlignment="1">
      <alignment horizontal="center" textRotation="255"/>
    </xf>
    <xf numFmtId="0" fontId="0" fillId="4" borderId="9" xfId="0" applyFill="1" applyBorder="1" applyAlignment="1">
      <alignment horizontal="center" textRotation="255"/>
    </xf>
    <xf numFmtId="0" fontId="0" fillId="4" borderId="10" xfId="0" applyFill="1" applyBorder="1" applyAlignment="1">
      <alignment horizontal="center" textRotation="255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0" xfId="0" applyFill="1" applyBorder="1" applyAlignment="1">
      <alignment horizontal="center"/>
    </xf>
    <xf numFmtId="14" fontId="0" fillId="2" borderId="10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14"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88900-4328-48C8-BE2B-77AC08417C49}" name="Table1" displayName="Table1" ref="A1:I22" totalsRowShown="0" headerRowDxfId="0" dataDxfId="1" headerRowBorderDxfId="12" tableBorderDxfId="13" totalsRowBorderDxfId="11">
  <autoFilter ref="A1:I22" xr:uid="{54588900-4328-48C8-BE2B-77AC08417C49}"/>
  <sortState xmlns:xlrd2="http://schemas.microsoft.com/office/spreadsheetml/2017/richdata2" ref="A2:I22">
    <sortCondition ref="B1:B22"/>
  </sortState>
  <tableColumns count="9">
    <tableColumn id="1" xr3:uid="{ADFFBD0B-5A06-44E0-B878-87274CA08D91}" name="EMPNO" dataDxfId="10"/>
    <tableColumn id="2" xr3:uid="{AE48B438-B4DF-417A-91F3-9207E70528B0}" name="ENAME" dataDxfId="9"/>
    <tableColumn id="3" xr3:uid="{224CE479-BD11-4255-98E5-605C15895660}" name="JOB" dataDxfId="8"/>
    <tableColumn id="4" xr3:uid="{8AB8B488-956C-4F33-990E-CD275FFF81D9}" name="MGR" dataDxfId="7"/>
    <tableColumn id="5" xr3:uid="{75C5AD40-D6FA-417E-83D2-0D4FBD135A8A}" name="HIREDATE" dataDxfId="6"/>
    <tableColumn id="6" xr3:uid="{C91A6F7A-23D3-4789-B620-68C68135920F}" name="SAL" dataDxfId="5"/>
    <tableColumn id="7" xr3:uid="{CEC728AF-052A-4DBB-A604-3C7737017742}" name="COMM" dataDxfId="4"/>
    <tableColumn id="8" xr3:uid="{6EF1504F-6D34-4041-B776-E577A724908C}" name="Email" dataDxfId="3"/>
    <tableColumn id="9" xr3:uid="{2B944329-5ACC-4ECB-A123-AF774E27F4C5}" name="DEPTN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RAJAN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workbookViewId="0">
      <selection activeCell="E17" sqref="E17"/>
    </sheetView>
  </sheetViews>
  <sheetFormatPr defaultRowHeight="14.4" x14ac:dyDescent="0.3"/>
  <cols>
    <col min="1" max="1" width="10" customWidth="1"/>
    <col min="2" max="2" width="9.21875" customWidth="1"/>
    <col min="3" max="3" width="14.6640625" customWidth="1"/>
    <col min="4" max="4" width="9.33203125" customWidth="1"/>
    <col min="5" max="5" width="15.5546875" customWidth="1"/>
    <col min="6" max="6" width="9.33203125" bestFit="1" customWidth="1"/>
    <col min="7" max="7" width="21.33203125" customWidth="1"/>
    <col min="8" max="8" width="25.44140625" customWidth="1"/>
    <col min="9" max="9" width="12.6640625" customWidth="1"/>
    <col min="13" max="13" width="11.109375" bestFit="1" customWidth="1"/>
  </cols>
  <sheetData>
    <row r="1" spans="1:15" x14ac:dyDescent="0.3">
      <c r="A1" s="16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8" t="s">
        <v>5</v>
      </c>
      <c r="G1" s="28" t="s">
        <v>6</v>
      </c>
      <c r="H1" s="28" t="s">
        <v>59</v>
      </c>
      <c r="I1" s="15" t="s">
        <v>7</v>
      </c>
    </row>
    <row r="2" spans="1:15" x14ac:dyDescent="0.3">
      <c r="A2" s="26">
        <v>9</v>
      </c>
      <c r="B2" s="1" t="s">
        <v>24</v>
      </c>
      <c r="C2" s="1" t="s">
        <v>15</v>
      </c>
      <c r="D2" s="1">
        <v>8</v>
      </c>
      <c r="E2" s="2">
        <v>30328</v>
      </c>
      <c r="F2" s="1">
        <v>1100</v>
      </c>
      <c r="G2" s="1">
        <v>0</v>
      </c>
      <c r="H2" s="1" t="s">
        <v>25</v>
      </c>
      <c r="I2" s="27">
        <v>20</v>
      </c>
    </row>
    <row r="3" spans="1:15" x14ac:dyDescent="0.3">
      <c r="A3" s="26">
        <v>13</v>
      </c>
      <c r="B3" s="1" t="s">
        <v>32</v>
      </c>
      <c r="C3" s="1" t="s">
        <v>33</v>
      </c>
      <c r="D3" s="1">
        <v>6</v>
      </c>
      <c r="E3" s="2">
        <v>29637</v>
      </c>
      <c r="F3" s="1">
        <v>1600</v>
      </c>
      <c r="G3" s="1">
        <v>300</v>
      </c>
      <c r="H3" s="1" t="s">
        <v>34</v>
      </c>
      <c r="I3" s="27">
        <v>30</v>
      </c>
    </row>
    <row r="4" spans="1:15" x14ac:dyDescent="0.3">
      <c r="A4" s="26">
        <v>16</v>
      </c>
      <c r="B4" s="1" t="s">
        <v>39</v>
      </c>
      <c r="C4" s="1" t="s">
        <v>9</v>
      </c>
      <c r="D4" s="1">
        <v>9</v>
      </c>
      <c r="E4" s="2">
        <v>29707</v>
      </c>
      <c r="F4" s="1">
        <v>2850</v>
      </c>
      <c r="G4" s="1">
        <v>0</v>
      </c>
      <c r="H4" s="1" t="s">
        <v>40</v>
      </c>
      <c r="I4" s="27">
        <v>30</v>
      </c>
    </row>
    <row r="5" spans="1:15" x14ac:dyDescent="0.3">
      <c r="A5" s="26">
        <v>1</v>
      </c>
      <c r="B5" s="1" t="s">
        <v>8</v>
      </c>
      <c r="C5" s="1" t="s">
        <v>9</v>
      </c>
      <c r="D5" s="1">
        <v>9</v>
      </c>
      <c r="E5" s="2">
        <v>29746</v>
      </c>
      <c r="F5" s="1">
        <v>2450</v>
      </c>
      <c r="G5" s="1">
        <v>0</v>
      </c>
      <c r="H5" s="1" t="s">
        <v>10</v>
      </c>
      <c r="I5" s="27">
        <v>10</v>
      </c>
      <c r="N5" t="str">
        <f ca="1">OFFSET(C4,O4,O3)</f>
        <v>MANAGER</v>
      </c>
    </row>
    <row r="6" spans="1:15" x14ac:dyDescent="0.3">
      <c r="A6" s="26">
        <v>10</v>
      </c>
      <c r="B6" s="1" t="s">
        <v>26</v>
      </c>
      <c r="C6" s="1" t="s">
        <v>22</v>
      </c>
      <c r="D6" s="1">
        <v>4</v>
      </c>
      <c r="E6" s="2">
        <v>29923</v>
      </c>
      <c r="F6" s="1">
        <v>3000</v>
      </c>
      <c r="G6" s="1">
        <v>0</v>
      </c>
      <c r="H6" s="1" t="s">
        <v>27</v>
      </c>
      <c r="I6" s="27">
        <v>20</v>
      </c>
    </row>
    <row r="7" spans="1:15" x14ac:dyDescent="0.3">
      <c r="A7" s="26">
        <v>21</v>
      </c>
      <c r="B7" s="1" t="s">
        <v>45</v>
      </c>
      <c r="C7" s="1" t="s">
        <v>15</v>
      </c>
      <c r="D7" s="1">
        <v>6</v>
      </c>
      <c r="E7" s="2">
        <v>29923</v>
      </c>
      <c r="F7" s="1">
        <v>950</v>
      </c>
      <c r="G7" s="1">
        <v>0</v>
      </c>
      <c r="H7" s="1" t="s">
        <v>46</v>
      </c>
      <c r="I7" s="27">
        <v>30</v>
      </c>
    </row>
    <row r="8" spans="1:15" x14ac:dyDescent="0.3">
      <c r="A8" s="26">
        <v>7</v>
      </c>
      <c r="B8" s="1" t="s">
        <v>19</v>
      </c>
      <c r="C8" s="1" t="s">
        <v>9</v>
      </c>
      <c r="D8" s="1">
        <v>9</v>
      </c>
      <c r="E8" s="2">
        <v>29678</v>
      </c>
      <c r="F8" s="1">
        <v>2975</v>
      </c>
      <c r="G8" s="1">
        <v>0</v>
      </c>
      <c r="H8" s="1" t="s">
        <v>20</v>
      </c>
      <c r="I8" s="27">
        <v>20</v>
      </c>
    </row>
    <row r="9" spans="1:15" x14ac:dyDescent="0.3">
      <c r="A9" s="26">
        <v>2</v>
      </c>
      <c r="B9" s="1" t="s">
        <v>11</v>
      </c>
      <c r="C9" s="1" t="s">
        <v>12</v>
      </c>
      <c r="D9" s="1">
        <v>1</v>
      </c>
      <c r="E9" s="2">
        <v>29907</v>
      </c>
      <c r="F9" s="1">
        <v>5000</v>
      </c>
      <c r="G9" s="1">
        <v>0</v>
      </c>
      <c r="H9" s="1" t="s">
        <v>13</v>
      </c>
      <c r="I9" s="27">
        <v>10</v>
      </c>
    </row>
    <row r="10" spans="1:15" x14ac:dyDescent="0.3">
      <c r="A10" s="26">
        <v>11</v>
      </c>
      <c r="B10" s="1" t="s">
        <v>28</v>
      </c>
      <c r="C10" s="1" t="s">
        <v>15</v>
      </c>
      <c r="D10" s="1">
        <v>9</v>
      </c>
      <c r="E10" s="2">
        <v>44957</v>
      </c>
      <c r="F10" s="1">
        <v>15000</v>
      </c>
      <c r="G10" s="1">
        <v>0</v>
      </c>
      <c r="H10" s="1" t="s">
        <v>29</v>
      </c>
      <c r="I10" s="27">
        <v>20</v>
      </c>
      <c r="N10" t="str">
        <f>INDEX(B2:B22,8)</f>
        <v>KING</v>
      </c>
    </row>
    <row r="11" spans="1:15" x14ac:dyDescent="0.3">
      <c r="A11" s="26">
        <v>15</v>
      </c>
      <c r="B11" s="1" t="s">
        <v>37</v>
      </c>
      <c r="C11" s="1" t="s">
        <v>33</v>
      </c>
      <c r="D11" s="1">
        <v>6</v>
      </c>
      <c r="E11" s="2">
        <v>29857</v>
      </c>
      <c r="F11" s="1">
        <v>1250</v>
      </c>
      <c r="G11" s="1">
        <v>1400</v>
      </c>
      <c r="H11" s="1" t="s">
        <v>38</v>
      </c>
      <c r="I11" s="27">
        <v>30</v>
      </c>
    </row>
    <row r="12" spans="1:15" x14ac:dyDescent="0.3">
      <c r="A12" s="26">
        <v>3</v>
      </c>
      <c r="B12" s="1" t="s">
        <v>14</v>
      </c>
      <c r="C12" s="1" t="s">
        <v>15</v>
      </c>
      <c r="D12" s="1">
        <v>7</v>
      </c>
      <c r="E12" s="2">
        <v>29974</v>
      </c>
      <c r="F12" s="1">
        <v>1400</v>
      </c>
      <c r="G12" s="1">
        <v>0</v>
      </c>
      <c r="H12" s="1" t="s">
        <v>16</v>
      </c>
      <c r="I12" s="27">
        <v>10</v>
      </c>
      <c r="N12">
        <f>MATCH("CLERK",C2:C22)</f>
        <v>13</v>
      </c>
    </row>
    <row r="13" spans="1:15" x14ac:dyDescent="0.3">
      <c r="A13" s="26">
        <v>4</v>
      </c>
      <c r="B13" s="1" t="s">
        <v>14</v>
      </c>
      <c r="C13" s="1" t="s">
        <v>15</v>
      </c>
      <c r="D13" s="1">
        <v>7</v>
      </c>
      <c r="E13" s="2">
        <v>29974</v>
      </c>
      <c r="F13" s="1">
        <v>1300</v>
      </c>
      <c r="G13" s="1">
        <v>0</v>
      </c>
      <c r="H13" s="1" t="s">
        <v>16</v>
      </c>
      <c r="I13" s="27">
        <v>10</v>
      </c>
      <c r="O13" t="s">
        <v>12</v>
      </c>
    </row>
    <row r="14" spans="1:15" x14ac:dyDescent="0.3">
      <c r="A14" s="26">
        <v>5</v>
      </c>
      <c r="B14" s="1" t="s">
        <v>14</v>
      </c>
      <c r="C14" s="1" t="s">
        <v>15</v>
      </c>
      <c r="D14" s="1">
        <v>7</v>
      </c>
      <c r="E14" s="2">
        <v>29974</v>
      </c>
      <c r="F14" s="1">
        <v>1300</v>
      </c>
      <c r="G14" s="1">
        <v>0</v>
      </c>
      <c r="H14" s="1" t="s">
        <v>16</v>
      </c>
      <c r="I14" s="27">
        <v>10</v>
      </c>
    </row>
    <row r="15" spans="1:15" x14ac:dyDescent="0.3">
      <c r="A15" s="26">
        <v>19</v>
      </c>
      <c r="B15" s="1" t="s">
        <v>89</v>
      </c>
      <c r="C15" s="1" t="s">
        <v>88</v>
      </c>
      <c r="D15" s="1">
        <v>9</v>
      </c>
      <c r="E15" s="2">
        <v>44957</v>
      </c>
      <c r="F15" s="1">
        <v>10000</v>
      </c>
      <c r="G15" s="1">
        <v>500</v>
      </c>
      <c r="H15" s="3" t="s">
        <v>90</v>
      </c>
      <c r="I15" s="27">
        <v>60</v>
      </c>
    </row>
    <row r="16" spans="1:15" x14ac:dyDescent="0.3">
      <c r="A16" s="26">
        <v>12</v>
      </c>
      <c r="B16" s="1" t="s">
        <v>30</v>
      </c>
      <c r="C16" s="1" t="s">
        <v>15</v>
      </c>
      <c r="D16" s="1">
        <v>9</v>
      </c>
      <c r="E16" s="2">
        <v>44957</v>
      </c>
      <c r="F16" s="1">
        <v>15000</v>
      </c>
      <c r="G16" s="1">
        <v>0</v>
      </c>
      <c r="H16" s="1" t="s">
        <v>31</v>
      </c>
      <c r="I16" s="27">
        <v>20</v>
      </c>
    </row>
    <row r="17" spans="1:13" x14ac:dyDescent="0.3">
      <c r="A17" s="26">
        <v>20</v>
      </c>
      <c r="B17" s="1" t="s">
        <v>43</v>
      </c>
      <c r="C17" s="1" t="s">
        <v>15</v>
      </c>
      <c r="D17" s="1">
        <v>4</v>
      </c>
      <c r="E17" s="2">
        <v>30328</v>
      </c>
      <c r="F17" s="1">
        <v>20000</v>
      </c>
      <c r="G17" s="1">
        <v>0</v>
      </c>
      <c r="H17" s="1" t="s">
        <v>44</v>
      </c>
      <c r="I17" s="27">
        <v>70</v>
      </c>
    </row>
    <row r="18" spans="1:13" x14ac:dyDescent="0.3">
      <c r="A18" s="26">
        <v>18</v>
      </c>
      <c r="B18" s="1" t="s">
        <v>62</v>
      </c>
      <c r="C18" s="1" t="s">
        <v>88</v>
      </c>
      <c r="D18" s="1">
        <v>9</v>
      </c>
      <c r="E18" s="2">
        <v>44114.918815821758</v>
      </c>
      <c r="F18" s="1">
        <v>4500</v>
      </c>
      <c r="G18" s="1">
        <v>2000</v>
      </c>
      <c r="H18" s="1" t="s">
        <v>29</v>
      </c>
      <c r="I18" s="27">
        <v>40</v>
      </c>
    </row>
    <row r="19" spans="1:13" x14ac:dyDescent="0.3">
      <c r="A19" s="26">
        <v>8</v>
      </c>
      <c r="B19" s="1" t="s">
        <v>21</v>
      </c>
      <c r="C19" s="1" t="s">
        <v>22</v>
      </c>
      <c r="D19" s="1">
        <v>4</v>
      </c>
      <c r="E19" s="2">
        <v>30294</v>
      </c>
      <c r="F19" s="1">
        <v>3000</v>
      </c>
      <c r="G19" s="1">
        <v>0</v>
      </c>
      <c r="H19" s="1" t="s">
        <v>23</v>
      </c>
      <c r="I19" s="27">
        <v>20</v>
      </c>
      <c r="K19" s="5"/>
      <c r="L19" s="4"/>
      <c r="M19" s="4"/>
    </row>
    <row r="20" spans="1:13" x14ac:dyDescent="0.3">
      <c r="A20" s="26">
        <v>6</v>
      </c>
      <c r="B20" s="1" t="s">
        <v>17</v>
      </c>
      <c r="C20" s="1" t="s">
        <v>15</v>
      </c>
      <c r="D20" s="1">
        <v>16</v>
      </c>
      <c r="E20" s="2">
        <v>29572</v>
      </c>
      <c r="F20" s="1">
        <v>800</v>
      </c>
      <c r="G20" s="1">
        <v>0</v>
      </c>
      <c r="H20" s="1" t="s">
        <v>18</v>
      </c>
      <c r="I20" s="27">
        <v>20</v>
      </c>
    </row>
    <row r="21" spans="1:13" x14ac:dyDescent="0.3">
      <c r="A21" s="26">
        <v>17</v>
      </c>
      <c r="B21" s="1" t="s">
        <v>41</v>
      </c>
      <c r="C21" s="1" t="s">
        <v>33</v>
      </c>
      <c r="D21" s="1">
        <v>6</v>
      </c>
      <c r="E21" s="2">
        <v>29837</v>
      </c>
      <c r="F21" s="1">
        <v>1500</v>
      </c>
      <c r="G21" s="1">
        <v>0</v>
      </c>
      <c r="H21" s="1" t="s">
        <v>42</v>
      </c>
      <c r="I21" s="27">
        <v>30</v>
      </c>
    </row>
    <row r="22" spans="1:13" x14ac:dyDescent="0.3">
      <c r="A22" s="30">
        <v>14</v>
      </c>
      <c r="B22" s="31" t="s">
        <v>35</v>
      </c>
      <c r="C22" s="31" t="s">
        <v>33</v>
      </c>
      <c r="D22" s="31">
        <v>6</v>
      </c>
      <c r="E22" s="32">
        <v>29639</v>
      </c>
      <c r="F22" s="31">
        <v>1250</v>
      </c>
      <c r="G22" s="31">
        <v>500</v>
      </c>
      <c r="H22" s="31" t="s">
        <v>36</v>
      </c>
      <c r="I22" s="33">
        <v>30</v>
      </c>
    </row>
  </sheetData>
  <customSheetViews>
    <customSheetView guid="{FE5E2757-CDBE-4902-8FED-45C7B3760803}" showPageBreaks="1" fitToPage="1">
      <selection activeCell="B5" sqref="B5"/>
      <pageMargins left="0.70866141732283472" right="0.70866141732283472" top="0.74803149606299213" bottom="0.74803149606299213" header="0.31496062992125984" footer="0.31496062992125984"/>
      <pageSetup scale="94" orientation="landscape" r:id="rId1"/>
    </customSheetView>
    <customSheetView guid="{335C4515-0D91-45C8-B6E9-F323629ACF11}" showPageBreaks="1" fitToPage="1">
      <selection activeCell="G10" sqref="G10"/>
      <pageMargins left="0.70866141732283472" right="0.70866141732283472" top="0.74803149606299213" bottom="0.74803149606299213" header="0.31496062992125984" footer="0.31496062992125984"/>
      <pageSetup scale="94" orientation="landscape" r:id="rId2"/>
    </customSheetView>
    <customSheetView guid="{5CEB309F-82F8-4AF5-A3E0-E5E520B65347}" showPageBreaks="1" fitToPage="1">
      <pane ySplit="1" topLeftCell="A5" activePane="bottomLeft" state="frozen"/>
      <selection pane="bottomLeft" activeCell="G5" sqref="G5:G22"/>
      <pageMargins left="0.70866141732283472" right="0.70866141732283472" top="0.74803149606299213" bottom="0.74803149606299213" header="0.31496062992125984" footer="0.31496062992125984"/>
      <pageSetup scale="72" orientation="landscape" r:id="rId3"/>
    </customSheetView>
  </customSheetViews>
  <dataValidations disablePrompts="1" count="1">
    <dataValidation type="list" allowBlank="1" showInputMessage="1" showErrorMessage="1" sqref="O13" xr:uid="{00000000-0002-0000-0000-000000000000}">
      <formula1>$C$2:$C$8</formula1>
    </dataValidation>
  </dataValidations>
  <hyperlinks>
    <hyperlink ref="H15" r:id="rId4" xr:uid="{46990FA6-9354-4D0F-B0C0-5CB451F4859B}"/>
  </hyperlinks>
  <pageMargins left="0.70866141732283472" right="0.70866141732283472" top="0.74803149606299213" bottom="0.74803149606299213" header="0.31496062992125984" footer="0.31496062992125984"/>
  <pageSetup scale="72" orientation="landscape" r:id="rId5"/>
  <cellWatches>
    <cellWatch r="J9"/>
  </cellWatche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11" sqref="C11"/>
    </sheetView>
  </sheetViews>
  <sheetFormatPr defaultRowHeight="14.4" x14ac:dyDescent="0.3"/>
  <cols>
    <col min="1" max="1" width="13.88671875" customWidth="1"/>
    <col min="2" max="2" width="13.77734375" customWidth="1"/>
    <col min="3" max="3" width="12.88671875" customWidth="1"/>
  </cols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>
        <v>10</v>
      </c>
      <c r="B2" t="s">
        <v>50</v>
      </c>
      <c r="C2" t="s">
        <v>51</v>
      </c>
    </row>
    <row r="3" spans="1:3" x14ac:dyDescent="0.3">
      <c r="A3">
        <v>20</v>
      </c>
      <c r="B3" t="s">
        <v>52</v>
      </c>
      <c r="C3" t="s">
        <v>53</v>
      </c>
    </row>
    <row r="4" spans="1:3" x14ac:dyDescent="0.3">
      <c r="A4">
        <v>30</v>
      </c>
      <c r="B4" t="s">
        <v>54</v>
      </c>
      <c r="C4" t="s">
        <v>55</v>
      </c>
    </row>
    <row r="5" spans="1:3" x14ac:dyDescent="0.3">
      <c r="A5">
        <v>40</v>
      </c>
      <c r="B5" t="s">
        <v>56</v>
      </c>
      <c r="C5" t="s">
        <v>57</v>
      </c>
    </row>
    <row r="6" spans="1:3" x14ac:dyDescent="0.3">
      <c r="A6">
        <v>100</v>
      </c>
      <c r="B6" t="s">
        <v>88</v>
      </c>
      <c r="C6" t="s">
        <v>58</v>
      </c>
    </row>
  </sheetData>
  <customSheetViews>
    <customSheetView guid="{FE5E2757-CDBE-4902-8FED-45C7B3760803}">
      <selection activeCell="C17" sqref="C17"/>
      <pageMargins left="0.7" right="0.7" top="0.75" bottom="0.75" header="0.3" footer="0.3"/>
    </customSheetView>
    <customSheetView guid="{335C4515-0D91-45C8-B6E9-F323629ACF11}">
      <selection activeCell="C17" sqref="C17"/>
      <pageMargins left="0.7" right="0.7" top="0.75" bottom="0.75" header="0.3" footer="0.3"/>
    </customSheetView>
    <customSheetView guid="{5CEB309F-82F8-4AF5-A3E0-E5E520B65347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29:G33"/>
  <sheetViews>
    <sheetView topLeftCell="A18" workbookViewId="0">
      <selection activeCell="G33" sqref="G33"/>
    </sheetView>
  </sheetViews>
  <sheetFormatPr defaultRowHeight="14.4" x14ac:dyDescent="0.3"/>
  <sheetData>
    <row r="29" spans="7:7" x14ac:dyDescent="0.3">
      <c r="G29" t="s">
        <v>60</v>
      </c>
    </row>
    <row r="33" spans="7:7" x14ac:dyDescent="0.3">
      <c r="G33" t="s">
        <v>61</v>
      </c>
    </row>
  </sheetData>
  <customSheetViews>
    <customSheetView guid="{FE5E2757-CDBE-4902-8FED-45C7B3760803}">
      <pageMargins left="0.7" right="0.7" top="0.75" bottom="0.75" header="0.3" footer="0.3"/>
    </customSheetView>
    <customSheetView guid="{335C4515-0D91-45C8-B6E9-F323629ACF11}">
      <pageMargins left="0.7" right="0.7" top="0.75" bottom="0.75" header="0.3" footer="0.3"/>
    </customSheetView>
    <customSheetView guid="{5CEB309F-82F8-4AF5-A3E0-E5E520B65347}" topLeftCell="A18">
      <selection activeCell="G33" sqref="G3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="130" zoomScaleNormal="130" workbookViewId="0">
      <selection activeCell="G2" sqref="G2"/>
    </sheetView>
  </sheetViews>
  <sheetFormatPr defaultRowHeight="14.4" x14ac:dyDescent="0.3"/>
  <cols>
    <col min="1" max="1" width="33.44140625" style="6" customWidth="1"/>
    <col min="2" max="2" width="40" style="6" customWidth="1"/>
  </cols>
  <sheetData>
    <row r="1" spans="1:7" x14ac:dyDescent="0.3">
      <c r="A1" s="6" t="s">
        <v>63</v>
      </c>
    </row>
    <row r="2" spans="1:7" ht="28.8" x14ac:dyDescent="0.3">
      <c r="A2" s="6">
        <v>53</v>
      </c>
      <c r="B2" s="6" t="str">
        <f>BAHTTEXT(A2)</f>
        <v>ห้าสิบสามบาทถ้วน</v>
      </c>
      <c r="F2" s="7" t="s">
        <v>64</v>
      </c>
      <c r="G2" t="str">
        <f>CLEAN(F2)</f>
        <v>manikumar</v>
      </c>
    </row>
    <row r="3" spans="1:7" x14ac:dyDescent="0.3">
      <c r="A3" s="6">
        <v>97</v>
      </c>
      <c r="B3" s="6" t="str">
        <f>CHAR(A3)</f>
        <v>a</v>
      </c>
      <c r="C3" t="str">
        <f>CHAR(A3)</f>
        <v>a</v>
      </c>
    </row>
    <row r="4" spans="1:7" x14ac:dyDescent="0.3">
      <c r="A4" s="6" t="s">
        <v>85</v>
      </c>
      <c r="B4" s="6">
        <f>CODE(A4)</f>
        <v>65</v>
      </c>
    </row>
    <row r="5" spans="1:7" x14ac:dyDescent="0.3">
      <c r="A5" s="6">
        <v>670</v>
      </c>
      <c r="B5" s="6" t="str">
        <f>DOLLAR(A5)</f>
        <v>$670.00</v>
      </c>
    </row>
    <row r="6" spans="1:7" x14ac:dyDescent="0.3">
      <c r="A6" s="6" t="s">
        <v>65</v>
      </c>
      <c r="B6" s="6" t="s">
        <v>66</v>
      </c>
      <c r="C6" t="b">
        <f>EXACT(A6,B6)</f>
        <v>0</v>
      </c>
    </row>
    <row r="7" spans="1:7" x14ac:dyDescent="0.3">
      <c r="A7" s="6" t="s">
        <v>67</v>
      </c>
      <c r="B7" s="6" t="s">
        <v>67</v>
      </c>
      <c r="C7" t="b">
        <f>EXACT(A7,B7)</f>
        <v>1</v>
      </c>
    </row>
    <row r="8" spans="1:7" x14ac:dyDescent="0.3">
      <c r="A8" s="6" t="s">
        <v>68</v>
      </c>
      <c r="B8" s="6">
        <f>FIND("S",A8)</f>
        <v>7</v>
      </c>
    </row>
    <row r="9" spans="1:7" x14ac:dyDescent="0.3">
      <c r="A9" s="6">
        <v>1130.25</v>
      </c>
      <c r="B9" s="6" t="str">
        <f>FIXED(A9,0,TRUE)</f>
        <v>1130</v>
      </c>
    </row>
    <row r="10" spans="1:7" x14ac:dyDescent="0.3">
      <c r="A10" s="6" t="s">
        <v>68</v>
      </c>
      <c r="B10" s="6" t="str">
        <f>REPLACE(A10,1,4,"RAM")</f>
        <v>RAMT SHARMA</v>
      </c>
    </row>
    <row r="11" spans="1:7" x14ac:dyDescent="0.3">
      <c r="A11" s="6" t="s">
        <v>68</v>
      </c>
      <c r="B11" s="6" t="str">
        <f>REPT(A11,3)</f>
        <v>ROHIT SHARMAROHIT SHARMAROHIT SHARMA</v>
      </c>
    </row>
    <row r="12" spans="1:7" x14ac:dyDescent="0.3">
      <c r="A12" s="6" t="s">
        <v>86</v>
      </c>
      <c r="B12" s="6">
        <f>SEARCH("H",A12,1)</f>
        <v>3</v>
      </c>
    </row>
    <row r="13" spans="1:7" x14ac:dyDescent="0.3">
      <c r="A13" s="6" t="s">
        <v>68</v>
      </c>
      <c r="B13" s="6" t="str">
        <f>SUBSTITUTE(A12,"h","E")</f>
        <v>ROEIT SHARMA</v>
      </c>
    </row>
    <row r="14" spans="1:7" x14ac:dyDescent="0.3">
      <c r="A14" s="6" t="s">
        <v>69</v>
      </c>
      <c r="B14" s="6" t="str">
        <f>T(A14)</f>
        <v>R</v>
      </c>
    </row>
    <row r="15" spans="1:7" x14ac:dyDescent="0.3">
      <c r="A15" s="6">
        <v>56</v>
      </c>
      <c r="B15" s="6" t="str">
        <f>T(A14)</f>
        <v>R</v>
      </c>
    </row>
    <row r="16" spans="1:7" x14ac:dyDescent="0.3">
      <c r="A16" s="6">
        <v>9022026</v>
      </c>
      <c r="B16" s="6" t="str">
        <f>TEXT(A16,"00\/00\/0000")</f>
        <v>09/02/2026</v>
      </c>
      <c r="C16">
        <f>WEEKDAY(B16)</f>
        <v>4</v>
      </c>
    </row>
    <row r="17" spans="1:3" x14ac:dyDescent="0.3">
      <c r="A17" s="8">
        <v>200</v>
      </c>
      <c r="B17" s="6">
        <f>VALUE(A17)</f>
        <v>200</v>
      </c>
    </row>
    <row r="18" spans="1:3" x14ac:dyDescent="0.3">
      <c r="C18">
        <f>WEEKNUM(B16)</f>
        <v>36</v>
      </c>
    </row>
  </sheetData>
  <customSheetViews>
    <customSheetView guid="{5CEB309F-82F8-4AF5-A3E0-E5E520B65347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E5" sqref="E5"/>
    </sheetView>
  </sheetViews>
  <sheetFormatPr defaultRowHeight="14.4" x14ac:dyDescent="0.3"/>
  <cols>
    <col min="1" max="1" width="19.5546875" customWidth="1"/>
    <col min="2" max="2" width="12.5546875" customWidth="1"/>
    <col min="3" max="3" width="16.88671875" customWidth="1"/>
    <col min="4" max="5" width="15.88671875" customWidth="1"/>
  </cols>
  <sheetData>
    <row r="1" spans="1:5" x14ac:dyDescent="0.3">
      <c r="A1" s="9" t="s">
        <v>70</v>
      </c>
      <c r="B1" t="s">
        <v>71</v>
      </c>
      <c r="C1" t="s">
        <v>73</v>
      </c>
      <c r="D1" t="s">
        <v>72</v>
      </c>
      <c r="E1" t="s">
        <v>74</v>
      </c>
    </row>
    <row r="2" spans="1:5" x14ac:dyDescent="0.3">
      <c r="A2" t="s">
        <v>75</v>
      </c>
      <c r="B2">
        <v>13</v>
      </c>
      <c r="C2">
        <v>600</v>
      </c>
      <c r="D2">
        <v>700</v>
      </c>
      <c r="E2">
        <f>D2-C2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topLeftCell="A4" workbookViewId="0">
      <selection activeCell="I9" sqref="I9"/>
    </sheetView>
  </sheetViews>
  <sheetFormatPr defaultRowHeight="14.4" x14ac:dyDescent="0.3"/>
  <cols>
    <col min="1" max="1" width="20" customWidth="1"/>
    <col min="2" max="2" width="17" customWidth="1"/>
    <col min="3" max="3" width="11.44140625" bestFit="1" customWidth="1"/>
  </cols>
  <sheetData>
    <row r="1" spans="1:7" x14ac:dyDescent="0.3">
      <c r="A1" s="10" t="s">
        <v>76</v>
      </c>
      <c r="B1" s="10" t="s">
        <v>87</v>
      </c>
    </row>
    <row r="2" spans="1:7" x14ac:dyDescent="0.3">
      <c r="A2" s="6" t="s">
        <v>75</v>
      </c>
      <c r="B2" s="6">
        <v>3800</v>
      </c>
    </row>
    <row r="3" spans="1:7" x14ac:dyDescent="0.3">
      <c r="A3" s="6" t="s">
        <v>77</v>
      </c>
      <c r="B3" s="6">
        <v>3500</v>
      </c>
    </row>
    <row r="4" spans="1:7" x14ac:dyDescent="0.3">
      <c r="A4" s="6" t="s">
        <v>78</v>
      </c>
      <c r="B4" s="6">
        <v>2700</v>
      </c>
    </row>
    <row r="5" spans="1:7" x14ac:dyDescent="0.3">
      <c r="A5" s="6" t="s">
        <v>79</v>
      </c>
      <c r="B5" s="6">
        <v>8000</v>
      </c>
    </row>
    <row r="6" spans="1:7" x14ac:dyDescent="0.3">
      <c r="B6">
        <f>SUM(B2:B5)</f>
        <v>18000</v>
      </c>
    </row>
    <row r="8" spans="1:7" x14ac:dyDescent="0.3">
      <c r="A8" s="6" t="s">
        <v>80</v>
      </c>
      <c r="B8" s="6" t="s">
        <v>81</v>
      </c>
      <c r="C8" s="6" t="s">
        <v>82</v>
      </c>
    </row>
    <row r="9" spans="1:7" x14ac:dyDescent="0.3">
      <c r="A9" s="6">
        <v>250000</v>
      </c>
      <c r="B9" s="6">
        <v>12</v>
      </c>
      <c r="C9" s="11">
        <v>0.1</v>
      </c>
    </row>
    <row r="11" spans="1:7" x14ac:dyDescent="0.3">
      <c r="A11" s="6" t="s">
        <v>83</v>
      </c>
      <c r="B11" s="12">
        <f>-PMT(C9,12,B9,A9)</f>
        <v>11692.589934853035</v>
      </c>
      <c r="C11" s="12">
        <f>-PMT(C9,12,B9,A9)</f>
        <v>11692.589934853035</v>
      </c>
    </row>
    <row r="13" spans="1:7" x14ac:dyDescent="0.3">
      <c r="A13" s="17" t="s">
        <v>81</v>
      </c>
      <c r="B13" s="18"/>
      <c r="C13" s="18"/>
      <c r="D13" s="18"/>
      <c r="E13" s="18"/>
      <c r="F13" s="18"/>
      <c r="G13" s="19"/>
    </row>
    <row r="14" spans="1:7" x14ac:dyDescent="0.3">
      <c r="A14" s="20"/>
      <c r="B14" s="21"/>
      <c r="C14" s="21"/>
      <c r="D14" s="21"/>
      <c r="E14" s="21"/>
      <c r="F14" s="21"/>
      <c r="G14" s="22"/>
    </row>
    <row r="15" spans="1:7" x14ac:dyDescent="0.3">
      <c r="A15" s="23" t="s">
        <v>84</v>
      </c>
      <c r="B15" s="14">
        <f>B11</f>
        <v>11692.589934853035</v>
      </c>
      <c r="C15" s="13">
        <v>12</v>
      </c>
      <c r="D15" s="13">
        <v>24</v>
      </c>
      <c r="E15" s="13">
        <v>36</v>
      </c>
      <c r="F15" s="13">
        <v>48</v>
      </c>
      <c r="G15" s="13">
        <v>60</v>
      </c>
    </row>
    <row r="16" spans="1:7" ht="15" customHeight="1" x14ac:dyDescent="0.3">
      <c r="A16" s="24"/>
      <c r="B16" s="13">
        <v>250000</v>
      </c>
      <c r="C16" s="13">
        <f t="dataTable" ref="C16:G22" dt2D="1" dtr="1" r1="A9" r2="B9"/>
        <v>36691.389934853032</v>
      </c>
      <c r="D16" s="13">
        <v>36691.951094634242</v>
      </c>
      <c r="E16" s="13">
        <v>36692.512254415444</v>
      </c>
      <c r="F16" s="13">
        <v>36693.073414196646</v>
      </c>
      <c r="G16" s="13">
        <v>36693.634573977848</v>
      </c>
    </row>
    <row r="17" spans="1:7" x14ac:dyDescent="0.3">
      <c r="A17" s="24"/>
      <c r="B17" s="13">
        <v>300000</v>
      </c>
      <c r="C17" s="13">
        <v>44029.555689867404</v>
      </c>
      <c r="D17" s="13">
        <v>44030.116849648606</v>
      </c>
      <c r="E17" s="13">
        <v>44030.678009429808</v>
      </c>
      <c r="F17" s="13">
        <v>44031.23916921101</v>
      </c>
      <c r="G17" s="13">
        <v>44031.80032899222</v>
      </c>
    </row>
    <row r="18" spans="1:7" x14ac:dyDescent="0.3">
      <c r="A18" s="24"/>
      <c r="B18" s="13">
        <v>350000</v>
      </c>
      <c r="C18" s="13">
        <v>51367.721444881776</v>
      </c>
      <c r="D18" s="13">
        <v>51368.282604662978</v>
      </c>
      <c r="E18" s="13">
        <v>51368.84376444418</v>
      </c>
      <c r="F18" s="13">
        <v>51369.404924225382</v>
      </c>
      <c r="G18" s="13">
        <v>51369.966084006584</v>
      </c>
    </row>
    <row r="19" spans="1:7" x14ac:dyDescent="0.3">
      <c r="A19" s="24"/>
      <c r="B19" s="13">
        <v>400000</v>
      </c>
      <c r="C19" s="13">
        <v>58705.887199896133</v>
      </c>
      <c r="D19" s="13">
        <v>58706.448359677335</v>
      </c>
      <c r="E19" s="13">
        <v>58707.009519458545</v>
      </c>
      <c r="F19" s="13">
        <v>58707.570679239747</v>
      </c>
      <c r="G19" s="13">
        <v>58708.131839020949</v>
      </c>
    </row>
    <row r="20" spans="1:7" x14ac:dyDescent="0.3">
      <c r="A20" s="24"/>
      <c r="B20" s="13">
        <v>450000</v>
      </c>
      <c r="C20" s="13">
        <v>66044.052954910498</v>
      </c>
      <c r="D20" s="13">
        <v>66044.614114691707</v>
      </c>
      <c r="E20" s="13">
        <v>66045.175274472902</v>
      </c>
      <c r="F20" s="13">
        <v>66045.736434254111</v>
      </c>
      <c r="G20" s="13">
        <v>66046.297594035321</v>
      </c>
    </row>
    <row r="21" spans="1:7" x14ac:dyDescent="0.3">
      <c r="A21" s="24"/>
      <c r="B21" s="13">
        <v>500000</v>
      </c>
      <c r="C21" s="13">
        <v>73382.218709924869</v>
      </c>
      <c r="D21" s="13">
        <v>73382.779869706064</v>
      </c>
      <c r="E21" s="13">
        <v>73383.341029487274</v>
      </c>
      <c r="F21" s="13">
        <v>73383.902189268483</v>
      </c>
      <c r="G21" s="13">
        <v>73384.463349049678</v>
      </c>
    </row>
    <row r="22" spans="1:7" x14ac:dyDescent="0.3">
      <c r="A22" s="25"/>
      <c r="B22" s="13">
        <v>550000</v>
      </c>
      <c r="C22" s="13">
        <v>80720.384464939241</v>
      </c>
      <c r="D22" s="13">
        <v>80720.945624720436</v>
      </c>
      <c r="E22" s="13">
        <v>80721.506784501646</v>
      </c>
      <c r="F22" s="13">
        <v>80722.06794428284</v>
      </c>
      <c r="G22" s="13">
        <v>80722.62910406405</v>
      </c>
    </row>
  </sheetData>
  <mergeCells count="2">
    <mergeCell ref="A13:G14"/>
    <mergeCell ref="A15:A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H17" sqref="H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</vt:lpstr>
      <vt:lpstr>DeptTable</vt:lpstr>
      <vt:lpstr>Sheet4</vt:lpstr>
      <vt:lpstr>TEXT FORMULAS</vt:lpstr>
      <vt:lpstr>DATE AND TIME FORMULAS</vt:lpstr>
      <vt:lpstr>GOAL SEEK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nallams Baskar</cp:lastModifiedBy>
  <cp:lastPrinted>2026-01-22T11:17:34Z</cp:lastPrinted>
  <dcterms:created xsi:type="dcterms:W3CDTF">2023-01-31T04:03:47Z</dcterms:created>
  <dcterms:modified xsi:type="dcterms:W3CDTF">2026-04-24T09:55:04Z</dcterms:modified>
</cp:coreProperties>
</file>